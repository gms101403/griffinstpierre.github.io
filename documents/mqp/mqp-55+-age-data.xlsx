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<sst xmlns="http://schemas.openxmlformats.org/spreadsheetml/2006/main" count="171" uniqueCount="163">
  <si>
    <t>ID / Trial</t>
  </si>
  <si>
    <t>Left Angle Change</t>
  </si>
  <si>
    <t>Right Angle Change</t>
  </si>
  <si>
    <t>Right Avg</t>
  </si>
  <si>
    <t>Left AVg</t>
  </si>
  <si>
    <t>SD Right</t>
  </si>
  <si>
    <t>SD Left</t>
  </si>
  <si>
    <t>Age</t>
  </si>
  <si>
    <t>M1 / 1</t>
  </si>
  <si>
    <t>W1 / 1</t>
  </si>
  <si>
    <t>M1 / 2</t>
  </si>
  <si>
    <t>W1 / 2</t>
  </si>
  <si>
    <t>M1 / 3</t>
  </si>
  <si>
    <t>W1 / 3</t>
  </si>
  <si>
    <t>M1 / 4</t>
  </si>
  <si>
    <t>W1 / 4</t>
  </si>
  <si>
    <t>M1 / 5</t>
  </si>
  <si>
    <t>W1 / 5</t>
  </si>
  <si>
    <t>M2 / 1</t>
  </si>
  <si>
    <t>W2 / 1</t>
  </si>
  <si>
    <t>M2 / 2</t>
  </si>
  <si>
    <t>W2 / 2</t>
  </si>
  <si>
    <t>M2 / 3</t>
  </si>
  <si>
    <t>W2 / 3</t>
  </si>
  <si>
    <t>M2 / 4</t>
  </si>
  <si>
    <t>W2 / 4</t>
  </si>
  <si>
    <t>M2 / 5</t>
  </si>
  <si>
    <t>W2 / 5</t>
  </si>
  <si>
    <t>M3 / 1</t>
  </si>
  <si>
    <t>W3 / 1</t>
  </si>
  <si>
    <t>M3 / 2</t>
  </si>
  <si>
    <t>W3 / 2</t>
  </si>
  <si>
    <t>M3 / 3</t>
  </si>
  <si>
    <t>W3 / 3</t>
  </si>
  <si>
    <t>M3 / 4</t>
  </si>
  <si>
    <t>W3 / 4</t>
  </si>
  <si>
    <t>M3 / 5</t>
  </si>
  <si>
    <t>W3 / 5</t>
  </si>
  <si>
    <t>M4 / 1</t>
  </si>
  <si>
    <t>W4 / 1</t>
  </si>
  <si>
    <t>M4 / 2</t>
  </si>
  <si>
    <t>W4 / 2</t>
  </si>
  <si>
    <t>M4 / 3</t>
  </si>
  <si>
    <t>W4 / 3</t>
  </si>
  <si>
    <t>M4 / 4</t>
  </si>
  <si>
    <t>W4 / 4</t>
  </si>
  <si>
    <t>M4 / 5</t>
  </si>
  <si>
    <t>W4 / 5</t>
  </si>
  <si>
    <t>M5 / 1</t>
  </si>
  <si>
    <t>W5 / 1</t>
  </si>
  <si>
    <t>M5 / 2</t>
  </si>
  <si>
    <t>W5 / 2</t>
  </si>
  <si>
    <t>M5 / 3</t>
  </si>
  <si>
    <t>W5 / 3</t>
  </si>
  <si>
    <t>M5 / 4</t>
  </si>
  <si>
    <t>W5 / 4</t>
  </si>
  <si>
    <t>M5 / 5</t>
  </si>
  <si>
    <t>W5 / 5</t>
  </si>
  <si>
    <t>M6 / 1</t>
  </si>
  <si>
    <t>W6 / 1</t>
  </si>
  <si>
    <t>M6 / 2</t>
  </si>
  <si>
    <t>W6 / 2</t>
  </si>
  <si>
    <t>M6 / 3</t>
  </si>
  <si>
    <t>W6 / 3</t>
  </si>
  <si>
    <t>M6 / 4</t>
  </si>
  <si>
    <t>W6 / 4</t>
  </si>
  <si>
    <t>M6 / 5</t>
  </si>
  <si>
    <t>W6 / 5</t>
  </si>
  <si>
    <t>M7 / 1</t>
  </si>
  <si>
    <t>W7 / 1</t>
  </si>
  <si>
    <t>M7 / 2</t>
  </si>
  <si>
    <t>W7 / 2</t>
  </si>
  <si>
    <t>M7 / 3</t>
  </si>
  <si>
    <t>W7 / 3</t>
  </si>
  <si>
    <t>M7 / 4</t>
  </si>
  <si>
    <t>W7 / 4</t>
  </si>
  <si>
    <t>M7 / 5</t>
  </si>
  <si>
    <t>W7 / 5</t>
  </si>
  <si>
    <t>M8 / 1</t>
  </si>
  <si>
    <t>W8 / 1</t>
  </si>
  <si>
    <t>M8 / 2</t>
  </si>
  <si>
    <t>W8 / 2</t>
  </si>
  <si>
    <t>M8 / 3</t>
  </si>
  <si>
    <t>W8 / 3</t>
  </si>
  <si>
    <t>M8 / 4</t>
  </si>
  <si>
    <t>W8 / 4</t>
  </si>
  <si>
    <t>M8 / 5</t>
  </si>
  <si>
    <t>W8 / 5</t>
  </si>
  <si>
    <t>M9 / 1</t>
  </si>
  <si>
    <t>W9 / 1</t>
  </si>
  <si>
    <t>M9 / 2</t>
  </si>
  <si>
    <t>W9 / 2</t>
  </si>
  <si>
    <t>M9 / 3</t>
  </si>
  <si>
    <t>W9 / 3</t>
  </si>
  <si>
    <t>M9 / 4</t>
  </si>
  <si>
    <t>W9 / 4</t>
  </si>
  <si>
    <t>M9 / 5</t>
  </si>
  <si>
    <t>W9 / 5</t>
  </si>
  <si>
    <t>M10 / 1</t>
  </si>
  <si>
    <t>W10 / 1</t>
  </si>
  <si>
    <t>M10 / 2</t>
  </si>
  <si>
    <t>W10 / 2</t>
  </si>
  <si>
    <t>M10 / 3</t>
  </si>
  <si>
    <t>W10 / 3</t>
  </si>
  <si>
    <t>M10 / 4</t>
  </si>
  <si>
    <t>W10 / 4</t>
  </si>
  <si>
    <t>M10 / 5</t>
  </si>
  <si>
    <t>W10 / 5</t>
  </si>
  <si>
    <t>M11 / 1</t>
  </si>
  <si>
    <t>W11 / 1</t>
  </si>
  <si>
    <t>M11 / 2</t>
  </si>
  <si>
    <t>W11 / 2</t>
  </si>
  <si>
    <t>M11 / 3</t>
  </si>
  <si>
    <t>W11 / 3</t>
  </si>
  <si>
    <t>M11 / 4</t>
  </si>
  <si>
    <t>W11 / 4</t>
  </si>
  <si>
    <t>M11 / 5</t>
  </si>
  <si>
    <t>W11 / 5</t>
  </si>
  <si>
    <t>M12 / 1</t>
  </si>
  <si>
    <t>W12 / 1</t>
  </si>
  <si>
    <t>M12 / 2</t>
  </si>
  <si>
    <t>W12 / 2</t>
  </si>
  <si>
    <t>M12 / 3</t>
  </si>
  <si>
    <t>W12 / 3</t>
  </si>
  <si>
    <t>M12 / 4</t>
  </si>
  <si>
    <t>W12 / 4</t>
  </si>
  <si>
    <t>M12 / 5</t>
  </si>
  <si>
    <t>W12 / 5</t>
  </si>
  <si>
    <t>M13 / 1</t>
  </si>
  <si>
    <t>W13 / 1</t>
  </si>
  <si>
    <t>M13 / 2</t>
  </si>
  <si>
    <t>W13 / 2</t>
  </si>
  <si>
    <t>M13 / 3</t>
  </si>
  <si>
    <t>W13 / 3</t>
  </si>
  <si>
    <t>M13 / 4</t>
  </si>
  <si>
    <t>W13 / 4</t>
  </si>
  <si>
    <t>M13 / 5</t>
  </si>
  <si>
    <t>W13 / 5</t>
  </si>
  <si>
    <t>M14 / 1</t>
  </si>
  <si>
    <t>W14 / 1</t>
  </si>
  <si>
    <t>M14 / 2</t>
  </si>
  <si>
    <t>W14 / 2</t>
  </si>
  <si>
    <t>M14 / 3</t>
  </si>
  <si>
    <t>W14 / 3</t>
  </si>
  <si>
    <t>M14 / 4</t>
  </si>
  <si>
    <t>W14 / 4</t>
  </si>
  <si>
    <t>M14 / 5</t>
  </si>
  <si>
    <t>W14 / 5</t>
  </si>
  <si>
    <t>M15 / 1</t>
  </si>
  <si>
    <t>W15 / 1</t>
  </si>
  <si>
    <t>M15 / 2</t>
  </si>
  <si>
    <t>W15 / 2</t>
  </si>
  <si>
    <t>M15 / 3</t>
  </si>
  <si>
    <t>W15 / 3</t>
  </si>
  <si>
    <t>M15 / 4</t>
  </si>
  <si>
    <t>W15 / 4</t>
  </si>
  <si>
    <t>M15 / 5</t>
  </si>
  <si>
    <t>W15 / 5</t>
  </si>
  <si>
    <t>M16 / 1</t>
  </si>
  <si>
    <t>M16 / 2</t>
  </si>
  <si>
    <t>M16 / 3</t>
  </si>
  <si>
    <t>M16 / 4</t>
  </si>
  <si>
    <t>M16 /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</si>
</sst>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2" fontId="3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readingOrder="0" vertical="bottom"/>
    </xf>
    <xf borderId="0" fillId="3" fontId="3" numFmtId="0" xfId="0" applyAlignment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88"/>
    <col customWidth="1" min="12" max="12" width="15.75"/>
    <col customWidth="1" min="13" max="13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K1" s="1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3" t="s">
        <v>7</v>
      </c>
    </row>
    <row r="2">
      <c r="A2" s="4" t="s">
        <v>8</v>
      </c>
      <c r="B2" s="5">
        <v>28.5</v>
      </c>
      <c r="C2" s="5">
        <v>22.0</v>
      </c>
      <c r="D2" s="6"/>
      <c r="E2" s="6"/>
      <c r="F2" s="6"/>
      <c r="G2" s="6"/>
      <c r="H2" s="7">
        <v>61.0</v>
      </c>
      <c r="K2" s="8" t="s">
        <v>9</v>
      </c>
      <c r="L2" s="9">
        <v>23.7</v>
      </c>
      <c r="M2" s="9">
        <v>21.4</v>
      </c>
      <c r="N2" s="6"/>
      <c r="O2" s="6"/>
      <c r="P2" s="6"/>
      <c r="Q2" s="6"/>
      <c r="R2" s="10">
        <v>56.0</v>
      </c>
    </row>
    <row r="3">
      <c r="A3" s="4" t="s">
        <v>10</v>
      </c>
      <c r="B3" s="5">
        <v>23.4</v>
      </c>
      <c r="C3" s="5">
        <v>21.9</v>
      </c>
      <c r="D3" s="6"/>
      <c r="E3" s="6"/>
      <c r="F3" s="6"/>
      <c r="G3" s="6"/>
      <c r="H3" s="6"/>
      <c r="K3" s="8" t="s">
        <v>11</v>
      </c>
      <c r="L3" s="9">
        <v>22.9</v>
      </c>
      <c r="M3" s="9">
        <v>23.2</v>
      </c>
      <c r="N3" s="6"/>
      <c r="O3" s="6"/>
      <c r="P3" s="6"/>
      <c r="Q3" s="6"/>
    </row>
    <row r="4">
      <c r="A4" s="4" t="s">
        <v>12</v>
      </c>
      <c r="B4" s="5">
        <v>29.3</v>
      </c>
      <c r="C4" s="5">
        <v>22.3</v>
      </c>
      <c r="D4" s="6"/>
      <c r="E4" s="6"/>
      <c r="F4" s="6"/>
      <c r="G4" s="6"/>
      <c r="H4" s="6"/>
      <c r="K4" s="8" t="s">
        <v>13</v>
      </c>
      <c r="L4" s="9">
        <v>23.5</v>
      </c>
      <c r="M4" s="9">
        <v>25.6</v>
      </c>
      <c r="N4" s="6"/>
      <c r="O4" s="6"/>
      <c r="P4" s="6"/>
      <c r="Q4" s="6"/>
    </row>
    <row r="5">
      <c r="A5" s="4" t="s">
        <v>14</v>
      </c>
      <c r="B5" s="5">
        <v>23.3</v>
      </c>
      <c r="C5" s="5">
        <v>24.7</v>
      </c>
      <c r="D5" s="6"/>
      <c r="E5" s="6"/>
      <c r="F5" s="6"/>
      <c r="G5" s="6"/>
      <c r="H5" s="6"/>
      <c r="K5" s="8" t="s">
        <v>15</v>
      </c>
      <c r="L5" s="9">
        <v>19.6</v>
      </c>
      <c r="M5" s="9">
        <v>22.0</v>
      </c>
      <c r="N5" s="6"/>
      <c r="O5" s="6"/>
      <c r="P5" s="6"/>
      <c r="Q5" s="6"/>
    </row>
    <row r="6">
      <c r="A6" s="4" t="s">
        <v>16</v>
      </c>
      <c r="B6" s="5">
        <v>20.2</v>
      </c>
      <c r="C6" s="5">
        <v>23.8</v>
      </c>
      <c r="D6" s="11">
        <f>ROUND(AVERAGE(C2:C6), 3-1-INT(LOG10(ABS(AVERAGE(C2:C6)))))</f>
        <v>22.9</v>
      </c>
      <c r="E6" s="11">
        <f>ROUND(AVERAGE(B2:B6), 3-1-INT(LOG10(ABS(AVERAGE(B2:B6)))))</f>
        <v>24.9</v>
      </c>
      <c r="F6" s="11">
        <f>ROUND(_xlfn.STDEV.S(C2:C6), 2-1-INT(LOG10(ABS(_xlfn.STDEV.S(C2:C6)))))</f>
        <v>1.2</v>
      </c>
      <c r="G6" s="11">
        <f>ROUND(_xlfn.STDEV.S(B2:B6), 2-1-INT(LOG10(ABS(_xlfn.STDEV.S(B2:B6)))))</f>
        <v>3.8</v>
      </c>
      <c r="H6" s="11"/>
      <c r="K6" s="8" t="s">
        <v>17</v>
      </c>
      <c r="L6" s="9">
        <v>21.6</v>
      </c>
      <c r="M6" s="9">
        <v>21.8</v>
      </c>
      <c r="N6" s="11">
        <f>ROUND(AVERAGE(M2:M6), 3-1-INT(LOG10(ABS(AVERAGE(M2:M6)))))</f>
        <v>22.8</v>
      </c>
      <c r="O6" s="11">
        <f>ROUND(AVERAGE(L2:L6), 3-1-INT(LOG10(ABS(AVERAGE(L2:L6)))))</f>
        <v>22.3</v>
      </c>
      <c r="P6" s="11">
        <f>ROUND(_xlfn.STDEV.S(M2:M6), 2-1-INT(LOG10(ABS(_xlfn.STDEV.S(M2:M6)))))</f>
        <v>1.7</v>
      </c>
      <c r="Q6" s="11">
        <f>ROUND(_xlfn.STDEV.S(L2:L6), 2-1-INT(LOG10(ABS(_xlfn.STDEV.S(L2:L6)))))</f>
        <v>1.7</v>
      </c>
    </row>
    <row r="7">
      <c r="A7" s="12" t="s">
        <v>18</v>
      </c>
      <c r="B7" s="13">
        <v>22.0</v>
      </c>
      <c r="C7" s="13">
        <v>18.4</v>
      </c>
      <c r="D7" s="6"/>
      <c r="E7" s="6"/>
      <c r="F7" s="6"/>
      <c r="G7" s="6"/>
      <c r="H7" s="7">
        <v>58.0</v>
      </c>
      <c r="K7" s="14" t="s">
        <v>19</v>
      </c>
      <c r="L7" s="15">
        <v>21.9</v>
      </c>
      <c r="M7" s="15">
        <v>17.6</v>
      </c>
      <c r="N7" s="6"/>
      <c r="O7" s="6"/>
      <c r="P7" s="6"/>
      <c r="Q7" s="6"/>
      <c r="R7" s="10">
        <v>69.0</v>
      </c>
    </row>
    <row r="8">
      <c r="A8" s="12" t="s">
        <v>20</v>
      </c>
      <c r="B8" s="13">
        <v>20.8</v>
      </c>
      <c r="C8" s="13">
        <v>19.2</v>
      </c>
      <c r="D8" s="6"/>
      <c r="E8" s="6"/>
      <c r="F8" s="6"/>
      <c r="G8" s="6"/>
      <c r="H8" s="6"/>
      <c r="K8" s="14" t="s">
        <v>21</v>
      </c>
      <c r="L8" s="15">
        <v>21.1</v>
      </c>
      <c r="M8" s="15">
        <v>17.8</v>
      </c>
      <c r="N8" s="6"/>
      <c r="O8" s="6"/>
      <c r="P8" s="6"/>
      <c r="Q8" s="6"/>
    </row>
    <row r="9">
      <c r="A9" s="12" t="s">
        <v>22</v>
      </c>
      <c r="B9" s="13">
        <v>21.4</v>
      </c>
      <c r="C9" s="13">
        <v>18.7</v>
      </c>
      <c r="D9" s="6"/>
      <c r="E9" s="6"/>
      <c r="F9" s="6"/>
      <c r="G9" s="6"/>
      <c r="H9" s="6"/>
      <c r="K9" s="14" t="s">
        <v>23</v>
      </c>
      <c r="L9" s="15">
        <v>22.0</v>
      </c>
      <c r="M9" s="15">
        <v>18.4</v>
      </c>
      <c r="N9" s="6"/>
      <c r="O9" s="6"/>
      <c r="P9" s="6"/>
      <c r="Q9" s="6"/>
    </row>
    <row r="10">
      <c r="A10" s="12" t="s">
        <v>24</v>
      </c>
      <c r="B10" s="13">
        <v>21.6</v>
      </c>
      <c r="C10" s="13">
        <v>19.3</v>
      </c>
      <c r="D10" s="6"/>
      <c r="E10" s="6"/>
      <c r="F10" s="6"/>
      <c r="G10" s="6"/>
      <c r="H10" s="6"/>
      <c r="K10" s="14" t="s">
        <v>25</v>
      </c>
      <c r="L10" s="15">
        <v>22.1</v>
      </c>
      <c r="M10" s="15">
        <v>16.8</v>
      </c>
      <c r="N10" s="6"/>
      <c r="O10" s="6"/>
      <c r="P10" s="6"/>
      <c r="Q10" s="6"/>
    </row>
    <row r="11">
      <c r="A11" s="12" t="s">
        <v>26</v>
      </c>
      <c r="B11" s="13">
        <v>22.0</v>
      </c>
      <c r="C11" s="13">
        <v>20.5</v>
      </c>
      <c r="D11" s="11">
        <f>ROUND(AVERAGE(C7:C11), 3-1-INT(LOG10(ABS(AVERAGE(C7:C11)))))</f>
        <v>19.2</v>
      </c>
      <c r="E11" s="11">
        <f>ROUND(AVERAGE(B7:B11), 3-1-INT(LOG10(ABS(AVERAGE(B7:B11)))))</f>
        <v>21.6</v>
      </c>
      <c r="F11" s="11">
        <f>ROUND(_xlfn.STDEV.S(C7:C11), 2-1-INT(LOG10(ABS(_xlfn.STDEV.S(C7:C11)))))</f>
        <v>0.8</v>
      </c>
      <c r="G11" s="11">
        <f>ROUND(_xlfn.STDEV.S(B7:B11), 2-1-INT(LOG10(ABS(_xlfn.STDEV.S(B7:B11)))))</f>
        <v>0.5</v>
      </c>
      <c r="H11" s="6"/>
      <c r="K11" s="14" t="s">
        <v>27</v>
      </c>
      <c r="L11" s="15">
        <v>19.8</v>
      </c>
      <c r="M11" s="15">
        <v>18.2</v>
      </c>
      <c r="N11" s="11">
        <f>ROUND(AVERAGE(M7:M11), 3-1-INT(LOG10(ABS(AVERAGE(M7:M11)))))</f>
        <v>17.8</v>
      </c>
      <c r="O11" s="11">
        <f>ROUND(AVERAGE(L7:L11), 3-1-INT(LOG10(ABS(AVERAGE(L7:L11)))))</f>
        <v>21.4</v>
      </c>
      <c r="P11" s="11">
        <f>ROUND(_xlfn.STDEV.S(M7:M11), 2-1-INT(LOG10(ABS(_xlfn.STDEV.S(M7:M11)))))</f>
        <v>0.62</v>
      </c>
      <c r="Q11" s="11">
        <f>ROUND(_xlfn.STDEV.S(L7:L11), 2-1-INT(LOG10(ABS(_xlfn.STDEV.S(L7:L11)))))</f>
        <v>0.97</v>
      </c>
    </row>
    <row r="12">
      <c r="A12" s="4" t="s">
        <v>28</v>
      </c>
      <c r="B12" s="5">
        <v>25.0</v>
      </c>
      <c r="C12" s="5">
        <v>23.4</v>
      </c>
      <c r="D12" s="6"/>
      <c r="E12" s="6"/>
      <c r="F12" s="6"/>
      <c r="G12" s="6"/>
      <c r="H12" s="7">
        <v>61.0</v>
      </c>
      <c r="K12" s="8" t="s">
        <v>29</v>
      </c>
      <c r="L12" s="9">
        <v>24.6</v>
      </c>
      <c r="M12" s="9">
        <v>22.4</v>
      </c>
      <c r="N12" s="6"/>
      <c r="O12" s="6"/>
      <c r="P12" s="6"/>
      <c r="Q12" s="6"/>
      <c r="R12" s="10">
        <v>55.0</v>
      </c>
    </row>
    <row r="13">
      <c r="A13" s="4" t="s">
        <v>30</v>
      </c>
      <c r="B13" s="5">
        <v>24.8</v>
      </c>
      <c r="C13" s="5">
        <v>24.3</v>
      </c>
      <c r="D13" s="6"/>
      <c r="E13" s="6"/>
      <c r="F13" s="6"/>
      <c r="G13" s="6"/>
      <c r="H13" s="6"/>
      <c r="K13" s="8" t="s">
        <v>31</v>
      </c>
      <c r="L13" s="9">
        <v>22.2</v>
      </c>
      <c r="M13" s="9">
        <v>25.6</v>
      </c>
      <c r="N13" s="6"/>
      <c r="O13" s="6"/>
      <c r="P13" s="6"/>
      <c r="Q13" s="6"/>
    </row>
    <row r="14">
      <c r="A14" s="4" t="s">
        <v>32</v>
      </c>
      <c r="B14" s="5">
        <v>24.1</v>
      </c>
      <c r="C14" s="5">
        <v>22.0</v>
      </c>
      <c r="D14" s="6"/>
      <c r="E14" s="6"/>
      <c r="F14" s="6"/>
      <c r="G14" s="6"/>
      <c r="H14" s="6"/>
      <c r="K14" s="8" t="s">
        <v>33</v>
      </c>
      <c r="L14" s="9">
        <v>26.7</v>
      </c>
      <c r="M14" s="9">
        <v>23.8</v>
      </c>
      <c r="N14" s="6"/>
      <c r="O14" s="6"/>
      <c r="P14" s="6"/>
      <c r="Q14" s="6"/>
    </row>
    <row r="15">
      <c r="A15" s="4" t="s">
        <v>34</v>
      </c>
      <c r="B15" s="5">
        <v>23.9</v>
      </c>
      <c r="C15" s="5">
        <v>21.4</v>
      </c>
      <c r="D15" s="6"/>
      <c r="E15" s="6"/>
      <c r="F15" s="6"/>
      <c r="G15" s="6"/>
      <c r="H15" s="6"/>
      <c r="K15" s="8" t="s">
        <v>35</v>
      </c>
      <c r="L15" s="9">
        <v>22.3</v>
      </c>
      <c r="M15" s="9">
        <v>21.8</v>
      </c>
      <c r="N15" s="6"/>
      <c r="O15" s="6"/>
      <c r="P15" s="6"/>
      <c r="Q15" s="6"/>
    </row>
    <row r="16">
      <c r="A16" s="4" t="s">
        <v>36</v>
      </c>
      <c r="B16" s="5">
        <v>24.1</v>
      </c>
      <c r="C16" s="5">
        <v>22.3</v>
      </c>
      <c r="D16" s="11">
        <f>ROUND(AVERAGE(C12:C16), 3-1-INT(LOG10(ABS(AVERAGE(C12:C16)))))</f>
        <v>22.7</v>
      </c>
      <c r="E16" s="11">
        <f>ROUND(AVERAGE(B12:B16), 3-1-INT(LOG10(ABS(AVERAGE(B12:B16)))))</f>
        <v>24.4</v>
      </c>
      <c r="F16" s="11">
        <f>ROUND(_xlfn.STDEV.S(C12:C16), 2-1-INT(LOG10(ABS(_xlfn.STDEV.S(C12:C16)))))</f>
        <v>1.2</v>
      </c>
      <c r="G16" s="11">
        <f>ROUND(_xlfn.STDEV.S(B12:B16), 2-1-INT(LOG10(ABS(_xlfn.STDEV.S(B12:B16)))))</f>
        <v>0.49</v>
      </c>
      <c r="H16" s="6"/>
      <c r="K16" s="8" t="s">
        <v>37</v>
      </c>
      <c r="L16" s="9">
        <v>21.9</v>
      </c>
      <c r="M16" s="9">
        <v>21.5</v>
      </c>
      <c r="N16" s="11">
        <f>ROUND(AVERAGE(M12:M16), 3-1-INT(LOG10(ABS(AVERAGE(M12:M16)))))</f>
        <v>23</v>
      </c>
      <c r="O16" s="11">
        <f>ROUND(AVERAGE(L12:L16), 3-1-INT(LOG10(ABS(AVERAGE(L12:L16)))))</f>
        <v>23.5</v>
      </c>
      <c r="P16" s="11">
        <f>ROUND(_xlfn.STDEV.S(M12:M16), 2-1-INT(LOG10(ABS(_xlfn.STDEV.S(M12:M16)))))</f>
        <v>1.7</v>
      </c>
      <c r="Q16" s="11">
        <f>ROUND(_xlfn.STDEV.S(L12:L16), 2-1-INT(LOG10(ABS(_xlfn.STDEV.S(L12:L16)))))</f>
        <v>2.1</v>
      </c>
    </row>
    <row r="17">
      <c r="A17" s="12" t="s">
        <v>38</v>
      </c>
      <c r="B17" s="13">
        <v>17.3</v>
      </c>
      <c r="C17" s="13">
        <v>18.4</v>
      </c>
      <c r="D17" s="6"/>
      <c r="E17" s="6"/>
      <c r="F17" s="6"/>
      <c r="G17" s="6"/>
      <c r="H17" s="7">
        <v>66.0</v>
      </c>
      <c r="K17" s="14" t="s">
        <v>39</v>
      </c>
      <c r="L17" s="15">
        <v>18.6</v>
      </c>
      <c r="M17" s="15">
        <v>15.4</v>
      </c>
      <c r="N17" s="6"/>
      <c r="O17" s="6"/>
      <c r="P17" s="6"/>
      <c r="Q17" s="6"/>
      <c r="R17" s="10">
        <v>64.0</v>
      </c>
    </row>
    <row r="18">
      <c r="A18" s="12" t="s">
        <v>40</v>
      </c>
      <c r="B18" s="13">
        <v>17.8</v>
      </c>
      <c r="C18" s="13">
        <v>19.3</v>
      </c>
      <c r="D18" s="6"/>
      <c r="E18" s="6"/>
      <c r="F18" s="6"/>
      <c r="G18" s="6"/>
      <c r="H18" s="6"/>
      <c r="K18" s="14" t="s">
        <v>41</v>
      </c>
      <c r="L18" s="15">
        <v>17.5</v>
      </c>
      <c r="M18" s="15">
        <v>16.4</v>
      </c>
      <c r="N18" s="6"/>
      <c r="O18" s="6"/>
      <c r="P18" s="6"/>
      <c r="Q18" s="6"/>
    </row>
    <row r="19">
      <c r="A19" s="12" t="s">
        <v>42</v>
      </c>
      <c r="B19" s="13">
        <v>18.4</v>
      </c>
      <c r="C19" s="13">
        <v>18.6</v>
      </c>
      <c r="D19" s="6"/>
      <c r="E19" s="6"/>
      <c r="F19" s="6"/>
      <c r="G19" s="6"/>
      <c r="H19" s="6"/>
      <c r="K19" s="14" t="s">
        <v>43</v>
      </c>
      <c r="L19" s="15">
        <v>19.2</v>
      </c>
      <c r="M19" s="15">
        <v>15.9</v>
      </c>
      <c r="N19" s="6"/>
      <c r="O19" s="6"/>
      <c r="P19" s="6"/>
      <c r="Q19" s="6"/>
    </row>
    <row r="20">
      <c r="A20" s="12" t="s">
        <v>44</v>
      </c>
      <c r="B20" s="13">
        <v>19.2</v>
      </c>
      <c r="C20" s="13">
        <v>20.5</v>
      </c>
      <c r="D20" s="6"/>
      <c r="E20" s="6"/>
      <c r="F20" s="6"/>
      <c r="G20" s="6"/>
      <c r="H20" s="6"/>
      <c r="K20" s="14" t="s">
        <v>45</v>
      </c>
      <c r="L20" s="15">
        <v>14.4</v>
      </c>
      <c r="M20" s="15">
        <v>18.4</v>
      </c>
      <c r="N20" s="6"/>
      <c r="O20" s="6"/>
      <c r="P20" s="6"/>
      <c r="Q20" s="6"/>
    </row>
    <row r="21">
      <c r="A21" s="12" t="s">
        <v>46</v>
      </c>
      <c r="B21" s="13">
        <v>17.6</v>
      </c>
      <c r="C21" s="13">
        <v>18.6</v>
      </c>
      <c r="D21" s="11">
        <f>ROUND(AVERAGE(C17:C21), 3-1-INT(LOG10(ABS(AVERAGE(C17:C21)))))</f>
        <v>19.1</v>
      </c>
      <c r="E21" s="11">
        <f>ROUND(AVERAGE(B17:B21), 3-1-INT(LOG10(ABS(AVERAGE(B17:B21)))))</f>
        <v>18.1</v>
      </c>
      <c r="F21" s="11">
        <f>ROUND(_xlfn.STDEV.S(C17:C21), 2-1-INT(LOG10(ABS(_xlfn.STDEV.S(C17:C21)))))</f>
        <v>0.86</v>
      </c>
      <c r="G21" s="11">
        <f>ROUND(_xlfn.STDEV.S(B17:B21), 2-1-INT(LOG10(ABS(_xlfn.STDEV.S(B17:B21)))))</f>
        <v>0.75</v>
      </c>
      <c r="H21" s="6"/>
      <c r="K21" s="14" t="s">
        <v>47</v>
      </c>
      <c r="L21" s="15">
        <v>16.8</v>
      </c>
      <c r="M21" s="15">
        <v>16.4</v>
      </c>
      <c r="N21" s="11">
        <f>ROUND(AVERAGE(M17:M21), 3-1-INT(LOG10(ABS(AVERAGE(M17:M21)))))</f>
        <v>16.5</v>
      </c>
      <c r="O21" s="11">
        <f>ROUND(AVERAGE(L17:L21), 3-1-INT(LOG10(ABS(AVERAGE(L17:L21)))))</f>
        <v>17.3</v>
      </c>
      <c r="P21" s="11">
        <f>ROUND(_xlfn.STDEV.S(M17:M21), 2-1-INT(LOG10(ABS(_xlfn.STDEV.S(M17:M21)))))</f>
        <v>1.1</v>
      </c>
      <c r="Q21" s="11">
        <f>ROUND(_xlfn.STDEV.S(L17:L21), 2-1-INT(LOG10(ABS(_xlfn.STDEV.S(L17:L21)))))</f>
        <v>1.9</v>
      </c>
    </row>
    <row r="22">
      <c r="A22" s="4" t="s">
        <v>48</v>
      </c>
      <c r="B22" s="5">
        <v>23.5</v>
      </c>
      <c r="C22" s="5">
        <v>21.0</v>
      </c>
      <c r="D22" s="6"/>
      <c r="E22" s="6"/>
      <c r="F22" s="6"/>
      <c r="G22" s="6"/>
      <c r="H22" s="7">
        <v>55.0</v>
      </c>
      <c r="K22" s="8" t="s">
        <v>49</v>
      </c>
      <c r="L22" s="9">
        <v>17.4</v>
      </c>
      <c r="M22" s="9">
        <v>12.2</v>
      </c>
      <c r="N22" s="6"/>
      <c r="O22" s="6"/>
      <c r="P22" s="6"/>
      <c r="Q22" s="6"/>
      <c r="R22" s="10">
        <v>67.0</v>
      </c>
    </row>
    <row r="23">
      <c r="A23" s="4" t="s">
        <v>50</v>
      </c>
      <c r="B23" s="5">
        <v>22.7</v>
      </c>
      <c r="C23" s="5">
        <v>21.4</v>
      </c>
      <c r="D23" s="6"/>
      <c r="E23" s="6"/>
      <c r="F23" s="6"/>
      <c r="G23" s="6"/>
      <c r="H23" s="6"/>
      <c r="K23" s="8" t="s">
        <v>51</v>
      </c>
      <c r="L23" s="9">
        <v>16.5</v>
      </c>
      <c r="M23" s="9">
        <v>13.4</v>
      </c>
      <c r="N23" s="6"/>
      <c r="O23" s="6"/>
      <c r="P23" s="6"/>
      <c r="Q23" s="6"/>
    </row>
    <row r="24">
      <c r="A24" s="4" t="s">
        <v>52</v>
      </c>
      <c r="B24" s="5">
        <v>23.4</v>
      </c>
      <c r="C24" s="5">
        <v>20.8</v>
      </c>
      <c r="D24" s="6"/>
      <c r="E24" s="6"/>
      <c r="F24" s="6"/>
      <c r="G24" s="6"/>
      <c r="H24" s="6"/>
      <c r="K24" s="8" t="s">
        <v>53</v>
      </c>
      <c r="L24" s="9">
        <v>18.4</v>
      </c>
      <c r="M24" s="9">
        <v>15.6</v>
      </c>
      <c r="N24" s="6"/>
      <c r="O24" s="6"/>
      <c r="P24" s="6"/>
      <c r="Q24" s="6"/>
    </row>
    <row r="25">
      <c r="A25" s="4" t="s">
        <v>54</v>
      </c>
      <c r="B25" s="5">
        <v>20.1</v>
      </c>
      <c r="C25" s="5">
        <v>21.5</v>
      </c>
      <c r="D25" s="6"/>
      <c r="E25" s="6"/>
      <c r="F25" s="6"/>
      <c r="G25" s="6"/>
      <c r="H25" s="6"/>
      <c r="K25" s="8" t="s">
        <v>55</v>
      </c>
      <c r="L25" s="9">
        <v>15.6</v>
      </c>
      <c r="M25" s="9">
        <v>13.8</v>
      </c>
      <c r="N25" s="6"/>
      <c r="O25" s="6"/>
      <c r="P25" s="6"/>
      <c r="Q25" s="6"/>
    </row>
    <row r="26">
      <c r="A26" s="4" t="s">
        <v>56</v>
      </c>
      <c r="B26" s="5">
        <v>22.4</v>
      </c>
      <c r="C26" s="5">
        <v>22.0</v>
      </c>
      <c r="D26" s="11">
        <f>ROUND(AVERAGE(C22:C26), 3-1-INT(LOG10(ABS(AVERAGE(C22:C26)))))</f>
        <v>21.3</v>
      </c>
      <c r="E26" s="11">
        <f>ROUND(AVERAGE(B22:B26), 3-1-INT(LOG10(ABS(AVERAGE(B22:B26)))))</f>
        <v>22.4</v>
      </c>
      <c r="F26" s="11">
        <f>ROUND(_xlfn.STDEV.S(C22:C26), 2-1-INT(LOG10(ABS(_xlfn.STDEV.S(C22:C26)))))</f>
        <v>0.47</v>
      </c>
      <c r="G26" s="11">
        <f>ROUND(_xlfn.STDEV.S(B22:B26), 2-1-INT(LOG10(ABS(_xlfn.STDEV.S(B22:B26)))))</f>
        <v>1.4</v>
      </c>
      <c r="H26" s="6"/>
      <c r="K26" s="8" t="s">
        <v>57</v>
      </c>
      <c r="L26" s="9">
        <v>14.9</v>
      </c>
      <c r="M26" s="9">
        <v>15.6</v>
      </c>
      <c r="N26" s="11">
        <f>ROUND(AVERAGE(M22:M26), 3-1-INT(LOG10(ABS(AVERAGE(M22:M26)))))</f>
        <v>14.1</v>
      </c>
      <c r="O26" s="11">
        <f>ROUND(AVERAGE(L22:L26), 3-1-INT(LOG10(ABS(AVERAGE(L22:L26)))))</f>
        <v>16.6</v>
      </c>
      <c r="P26" s="11">
        <f>ROUND(_xlfn.STDEV.S(M22:M26), 2-1-INT(LOG10(ABS(_xlfn.STDEV.S(M22:M26)))))</f>
        <v>1.5</v>
      </c>
      <c r="Q26" s="11">
        <f>ROUND(_xlfn.STDEV.S(L22:L26), 2-1-INT(LOG10(ABS(_xlfn.STDEV.S(L22:L26)))))</f>
        <v>1.4</v>
      </c>
    </row>
    <row r="27">
      <c r="A27" s="12" t="s">
        <v>58</v>
      </c>
      <c r="B27" s="13">
        <v>19.8</v>
      </c>
      <c r="C27" s="13">
        <v>21.4</v>
      </c>
      <c r="D27" s="6"/>
      <c r="E27" s="6"/>
      <c r="F27" s="6"/>
      <c r="G27" s="6"/>
      <c r="H27" s="7">
        <v>63.0</v>
      </c>
      <c r="K27" s="14" t="s">
        <v>59</v>
      </c>
      <c r="L27" s="15">
        <v>22.3</v>
      </c>
      <c r="M27" s="15">
        <v>22.8</v>
      </c>
      <c r="N27" s="6"/>
      <c r="O27" s="6"/>
      <c r="P27" s="6"/>
      <c r="Q27" s="6"/>
      <c r="R27" s="10">
        <v>58.0</v>
      </c>
    </row>
    <row r="28">
      <c r="A28" s="12" t="s">
        <v>60</v>
      </c>
      <c r="B28" s="13">
        <v>19.5</v>
      </c>
      <c r="C28" s="13">
        <v>19.8</v>
      </c>
      <c r="D28" s="6"/>
      <c r="E28" s="6"/>
      <c r="F28" s="6"/>
      <c r="G28" s="6"/>
      <c r="H28" s="6"/>
      <c r="K28" s="14" t="s">
        <v>61</v>
      </c>
      <c r="L28" s="15">
        <v>24.3</v>
      </c>
      <c r="M28" s="15">
        <v>20.4</v>
      </c>
      <c r="N28" s="6"/>
      <c r="O28" s="6"/>
      <c r="P28" s="6"/>
      <c r="Q28" s="6"/>
    </row>
    <row r="29">
      <c r="A29" s="12" t="s">
        <v>62</v>
      </c>
      <c r="B29" s="13">
        <v>18.8</v>
      </c>
      <c r="C29" s="13">
        <v>20.6</v>
      </c>
      <c r="D29" s="6"/>
      <c r="E29" s="6"/>
      <c r="F29" s="6"/>
      <c r="G29" s="6"/>
      <c r="H29" s="6"/>
      <c r="K29" s="14" t="s">
        <v>63</v>
      </c>
      <c r="L29" s="15">
        <v>22.8</v>
      </c>
      <c r="M29" s="15">
        <v>19.8</v>
      </c>
      <c r="N29" s="6"/>
      <c r="O29" s="6"/>
      <c r="P29" s="6"/>
      <c r="Q29" s="6"/>
    </row>
    <row r="30">
      <c r="A30" s="12" t="s">
        <v>64</v>
      </c>
      <c r="B30" s="13">
        <v>19.6</v>
      </c>
      <c r="C30" s="13">
        <v>19.8</v>
      </c>
      <c r="D30" s="6"/>
      <c r="E30" s="6"/>
      <c r="F30" s="6"/>
      <c r="G30" s="6"/>
      <c r="H30" s="6"/>
      <c r="K30" s="14" t="s">
        <v>65</v>
      </c>
      <c r="L30" s="15">
        <v>22.4</v>
      </c>
      <c r="M30" s="15">
        <v>23.5</v>
      </c>
      <c r="N30" s="6"/>
      <c r="O30" s="6"/>
      <c r="P30" s="6"/>
      <c r="Q30" s="6"/>
    </row>
    <row r="31">
      <c r="A31" s="12" t="s">
        <v>66</v>
      </c>
      <c r="B31" s="13">
        <v>20.0</v>
      </c>
      <c r="C31" s="13">
        <v>20.1</v>
      </c>
      <c r="D31" s="11">
        <f>ROUND(AVERAGE(C27:C31), 3-1-INT(LOG10(ABS(AVERAGE(C27:C31)))))</f>
        <v>20.3</v>
      </c>
      <c r="E31" s="11">
        <f>ROUND(AVERAGE(B27:B31), 3-1-INT(LOG10(ABS(AVERAGE(B27:B31)))))</f>
        <v>19.5</v>
      </c>
      <c r="F31" s="11">
        <f>ROUND(_xlfn.STDEV.S(C27:C31), 2-1-INT(LOG10(ABS(_xlfn.STDEV.S(C27:C31)))))</f>
        <v>0.68</v>
      </c>
      <c r="G31" s="11">
        <f>ROUND(_xlfn.STDEV.S(B27:B31), 2-1-INT(LOG10(ABS(_xlfn.STDEV.S(B27:B31)))))</f>
        <v>0.46</v>
      </c>
      <c r="H31" s="6"/>
      <c r="K31" s="14" t="s">
        <v>67</v>
      </c>
      <c r="L31" s="15">
        <v>23.6</v>
      </c>
      <c r="M31" s="15">
        <v>22.6</v>
      </c>
      <c r="N31" s="11">
        <f>ROUND(AVERAGE(M27:M31), 3-1-INT(LOG10(ABS(AVERAGE(M27:M31)))))</f>
        <v>21.8</v>
      </c>
      <c r="O31" s="11">
        <f>ROUND(AVERAGE(L27:L31), 3-1-INT(LOG10(ABS(AVERAGE(L27:L31)))))</f>
        <v>23.1</v>
      </c>
      <c r="P31" s="11">
        <f>ROUND(_xlfn.STDEV.S(M27:M31), 2-1-INT(LOG10(ABS(_xlfn.STDEV.S(M27:M31)))))</f>
        <v>1.6</v>
      </c>
      <c r="Q31" s="11">
        <f>ROUND(_xlfn.STDEV.S(L27:L31), 2-1-INT(LOG10(ABS(_xlfn.STDEV.S(L27:L31)))))</f>
        <v>0.85</v>
      </c>
    </row>
    <row r="32">
      <c r="A32" s="4" t="s">
        <v>68</v>
      </c>
      <c r="B32" s="5">
        <v>17.6</v>
      </c>
      <c r="C32" s="5">
        <v>25.6</v>
      </c>
      <c r="D32" s="6"/>
      <c r="E32" s="6"/>
      <c r="F32" s="6"/>
      <c r="G32" s="6"/>
      <c r="H32" s="10">
        <v>61.0</v>
      </c>
      <c r="K32" s="8" t="s">
        <v>69</v>
      </c>
      <c r="L32" s="9">
        <v>16.5</v>
      </c>
      <c r="M32" s="9">
        <v>20.5</v>
      </c>
      <c r="N32" s="6"/>
      <c r="O32" s="6"/>
      <c r="P32" s="6"/>
      <c r="Q32" s="6"/>
      <c r="R32" s="10">
        <v>60.0</v>
      </c>
    </row>
    <row r="33">
      <c r="A33" s="4" t="s">
        <v>70</v>
      </c>
      <c r="B33" s="5">
        <v>20.4</v>
      </c>
      <c r="C33" s="5">
        <v>24.3</v>
      </c>
      <c r="D33" s="6"/>
      <c r="E33" s="6"/>
      <c r="F33" s="6"/>
      <c r="G33" s="6"/>
      <c r="K33" s="8" t="s">
        <v>71</v>
      </c>
      <c r="L33" s="9">
        <v>18.4</v>
      </c>
      <c r="M33" s="9">
        <v>21.3</v>
      </c>
      <c r="N33" s="6"/>
      <c r="O33" s="6"/>
      <c r="P33" s="6"/>
      <c r="Q33" s="6"/>
    </row>
    <row r="34">
      <c r="A34" s="4" t="s">
        <v>72</v>
      </c>
      <c r="B34" s="5">
        <v>21.0</v>
      </c>
      <c r="C34" s="5">
        <v>24.8</v>
      </c>
      <c r="D34" s="6"/>
      <c r="E34" s="6"/>
      <c r="F34" s="6"/>
      <c r="G34" s="6"/>
      <c r="K34" s="8" t="s">
        <v>73</v>
      </c>
      <c r="L34" s="9">
        <v>16.8</v>
      </c>
      <c r="M34" s="9">
        <v>22.4</v>
      </c>
      <c r="N34" s="6"/>
      <c r="O34" s="6"/>
      <c r="P34" s="6"/>
      <c r="Q34" s="6"/>
    </row>
    <row r="35">
      <c r="A35" s="4" t="s">
        <v>74</v>
      </c>
      <c r="B35" s="5">
        <v>18.9</v>
      </c>
      <c r="C35" s="5">
        <v>25.0</v>
      </c>
      <c r="D35" s="6"/>
      <c r="E35" s="6"/>
      <c r="F35" s="6"/>
      <c r="G35" s="6"/>
      <c r="K35" s="8" t="s">
        <v>75</v>
      </c>
      <c r="L35" s="9">
        <v>17.9</v>
      </c>
      <c r="M35" s="9">
        <v>22.1</v>
      </c>
      <c r="N35" s="6"/>
      <c r="O35" s="6"/>
      <c r="P35" s="6"/>
      <c r="Q35" s="6"/>
    </row>
    <row r="36">
      <c r="A36" s="4" t="s">
        <v>76</v>
      </c>
      <c r="B36" s="5">
        <v>21.4</v>
      </c>
      <c r="C36" s="5">
        <v>24.8</v>
      </c>
      <c r="D36" s="11">
        <f>ROUND(AVERAGE(C32:C36), 3-1-INT(LOG10(ABS(AVERAGE(C32:C36)))))</f>
        <v>24.9</v>
      </c>
      <c r="E36" s="11">
        <f>ROUND(AVERAGE(B32:B36), 3-1-INT(LOG10(ABS(AVERAGE(B32:B36)))))</f>
        <v>19.9</v>
      </c>
      <c r="F36" s="11">
        <f>ROUND(_xlfn.STDEV.S(C32:C36), 2-1-INT(LOG10(ABS(_xlfn.STDEV.S(C32:C36)))))</f>
        <v>0.47</v>
      </c>
      <c r="G36" s="11">
        <f>ROUND(_xlfn.STDEV.S(B32:B36), 2-1-INT(LOG10(ABS(_xlfn.STDEV.S(B32:B36)))))</f>
        <v>1.6</v>
      </c>
      <c r="K36" s="8" t="s">
        <v>77</v>
      </c>
      <c r="L36" s="9">
        <v>20.5</v>
      </c>
      <c r="M36" s="9">
        <v>17.8</v>
      </c>
      <c r="N36" s="11">
        <f>ROUND(AVERAGE(M32:M36), 3-1-INT(LOG10(ABS(AVERAGE(M32:M36)))))</f>
        <v>20.8</v>
      </c>
      <c r="O36" s="11">
        <f>ROUND(AVERAGE(L32:L36), 3-1-INT(LOG10(ABS(AVERAGE(L32:L36)))))</f>
        <v>18</v>
      </c>
      <c r="P36" s="11">
        <f>ROUND(_xlfn.STDEV.S(M32:M36), 2-1-INT(LOG10(ABS(_xlfn.STDEV.S(M32:M36)))))</f>
        <v>1.8</v>
      </c>
      <c r="Q36" s="11">
        <f>ROUND(_xlfn.STDEV.S(L32:L36), 2-1-INT(LOG10(ABS(_xlfn.STDEV.S(L32:L36)))))</f>
        <v>1.6</v>
      </c>
    </row>
    <row r="37">
      <c r="A37" s="12" t="s">
        <v>78</v>
      </c>
      <c r="B37" s="13">
        <v>24.6</v>
      </c>
      <c r="C37" s="13">
        <v>21.4</v>
      </c>
      <c r="D37" s="6"/>
      <c r="E37" s="6"/>
      <c r="F37" s="6"/>
      <c r="G37" s="6"/>
      <c r="H37" s="10">
        <v>57.0</v>
      </c>
      <c r="K37" s="14" t="s">
        <v>79</v>
      </c>
      <c r="L37" s="15">
        <v>24.4</v>
      </c>
      <c r="M37" s="15">
        <v>28.5</v>
      </c>
      <c r="N37" s="6"/>
      <c r="O37" s="6"/>
      <c r="P37" s="6"/>
      <c r="Q37" s="6"/>
      <c r="R37" s="10">
        <v>60.0</v>
      </c>
    </row>
    <row r="38">
      <c r="A38" s="12" t="s">
        <v>80</v>
      </c>
      <c r="B38" s="13">
        <v>23.0</v>
      </c>
      <c r="C38" s="13">
        <v>22.0</v>
      </c>
      <c r="D38" s="6"/>
      <c r="E38" s="6"/>
      <c r="F38" s="6"/>
      <c r="G38" s="6"/>
      <c r="K38" s="14" t="s">
        <v>81</v>
      </c>
      <c r="L38" s="15">
        <v>23.8</v>
      </c>
      <c r="M38" s="15">
        <v>26.5</v>
      </c>
      <c r="N38" s="6"/>
      <c r="O38" s="6"/>
      <c r="P38" s="6"/>
      <c r="Q38" s="6"/>
    </row>
    <row r="39">
      <c r="A39" s="12" t="s">
        <v>82</v>
      </c>
      <c r="B39" s="13">
        <v>24.8</v>
      </c>
      <c r="C39" s="13">
        <v>21.8</v>
      </c>
      <c r="D39" s="6"/>
      <c r="E39" s="6"/>
      <c r="F39" s="6"/>
      <c r="G39" s="6"/>
      <c r="K39" s="14" t="s">
        <v>83</v>
      </c>
      <c r="L39" s="15">
        <v>25.6</v>
      </c>
      <c r="M39" s="15">
        <v>24.9</v>
      </c>
      <c r="N39" s="6"/>
      <c r="O39" s="6"/>
      <c r="P39" s="6"/>
      <c r="Q39" s="6"/>
    </row>
    <row r="40">
      <c r="A40" s="12" t="s">
        <v>84</v>
      </c>
      <c r="B40" s="13">
        <v>21.3</v>
      </c>
      <c r="C40" s="13">
        <v>23.2</v>
      </c>
      <c r="D40" s="6"/>
      <c r="E40" s="6"/>
      <c r="F40" s="6"/>
      <c r="G40" s="6"/>
      <c r="K40" s="14" t="s">
        <v>85</v>
      </c>
      <c r="L40" s="15">
        <v>24.8</v>
      </c>
      <c r="M40" s="15">
        <v>28.3</v>
      </c>
      <c r="N40" s="6"/>
      <c r="O40" s="6"/>
      <c r="P40" s="6"/>
      <c r="Q40" s="6"/>
    </row>
    <row r="41">
      <c r="A41" s="12" t="s">
        <v>86</v>
      </c>
      <c r="B41" s="13">
        <v>25.8</v>
      </c>
      <c r="C41" s="13">
        <v>21.9</v>
      </c>
      <c r="D41" s="11">
        <f>ROUND(AVERAGE(C37:C41), 3-1-INT(LOG10(ABS(AVERAGE(C37:C41)))))</f>
        <v>22.1</v>
      </c>
      <c r="E41" s="11">
        <f>ROUND(AVERAGE(B37:B41), 3-1-INT(LOG10(ABS(AVERAGE(B37:B41)))))</f>
        <v>23.9</v>
      </c>
      <c r="F41" s="11">
        <f>ROUND(_xlfn.STDEV.S(C37:C41), 2-1-INT(LOG10(ABS(_xlfn.STDEV.S(C37:C41)))))</f>
        <v>0.68</v>
      </c>
      <c r="G41" s="11">
        <f>ROUND(_xlfn.STDEV.S(B37:B41), 2-1-INT(LOG10(ABS(_xlfn.STDEV.S(B37:B41)))))</f>
        <v>1.8</v>
      </c>
      <c r="K41" s="14" t="s">
        <v>87</v>
      </c>
      <c r="L41" s="15">
        <v>23.2</v>
      </c>
      <c r="M41" s="15">
        <v>26.9</v>
      </c>
      <c r="N41" s="11">
        <f>ROUND(AVERAGE(M37:M41), 3-1-INT(LOG10(ABS(AVERAGE(M37:M41)))))</f>
        <v>27</v>
      </c>
      <c r="O41" s="11">
        <f>ROUND(AVERAGE(L37:L41), 3-1-INT(LOG10(ABS(AVERAGE(L37:L41)))))</f>
        <v>24.4</v>
      </c>
      <c r="P41" s="11">
        <f>ROUND(_xlfn.STDEV.S(M37:M41), 2-1-INT(LOG10(ABS(_xlfn.STDEV.S(M37:M41)))))</f>
        <v>1.5</v>
      </c>
      <c r="Q41" s="11">
        <f>ROUND(_xlfn.STDEV.S(L37:L41), 2-1-INT(LOG10(ABS(_xlfn.STDEV.S(L37:L41)))))</f>
        <v>0.92</v>
      </c>
    </row>
    <row r="42">
      <c r="A42" s="4" t="s">
        <v>88</v>
      </c>
      <c r="B42" s="5">
        <v>27.8</v>
      </c>
      <c r="C42" s="5">
        <v>28.4</v>
      </c>
      <c r="D42" s="6"/>
      <c r="E42" s="6"/>
      <c r="F42" s="6"/>
      <c r="G42" s="6"/>
      <c r="H42" s="10">
        <v>55.0</v>
      </c>
      <c r="K42" s="8" t="s">
        <v>89</v>
      </c>
      <c r="L42" s="9">
        <v>28.9</v>
      </c>
      <c r="M42" s="9">
        <v>22.4</v>
      </c>
      <c r="N42" s="6"/>
      <c r="O42" s="6"/>
      <c r="P42" s="6"/>
      <c r="Q42" s="6"/>
      <c r="R42" s="10">
        <v>56.0</v>
      </c>
    </row>
    <row r="43">
      <c r="A43" s="4" t="s">
        <v>90</v>
      </c>
      <c r="B43" s="5">
        <v>32.9</v>
      </c>
      <c r="C43" s="5">
        <v>26.4</v>
      </c>
      <c r="D43" s="6"/>
      <c r="E43" s="6"/>
      <c r="F43" s="6"/>
      <c r="G43" s="6"/>
      <c r="K43" s="8" t="s">
        <v>91</v>
      </c>
      <c r="L43" s="9">
        <v>24.6</v>
      </c>
      <c r="M43" s="9">
        <v>23.6</v>
      </c>
      <c r="N43" s="6"/>
      <c r="O43" s="6"/>
      <c r="P43" s="6"/>
      <c r="Q43" s="6"/>
    </row>
    <row r="44">
      <c r="A44" s="4" t="s">
        <v>92</v>
      </c>
      <c r="B44" s="5">
        <v>32.8</v>
      </c>
      <c r="C44" s="5">
        <v>27.3</v>
      </c>
      <c r="D44" s="6"/>
      <c r="E44" s="6"/>
      <c r="F44" s="6"/>
      <c r="G44" s="6"/>
      <c r="K44" s="8" t="s">
        <v>93</v>
      </c>
      <c r="L44" s="9">
        <v>26.7</v>
      </c>
      <c r="M44" s="9">
        <v>24.0</v>
      </c>
      <c r="N44" s="6"/>
      <c r="O44" s="6"/>
      <c r="P44" s="6"/>
      <c r="Q44" s="6"/>
    </row>
    <row r="45">
      <c r="A45" s="4" t="s">
        <v>94</v>
      </c>
      <c r="B45" s="5">
        <v>26.8</v>
      </c>
      <c r="C45" s="5">
        <v>28.0</v>
      </c>
      <c r="D45" s="6"/>
      <c r="E45" s="6"/>
      <c r="F45" s="6"/>
      <c r="G45" s="6"/>
      <c r="K45" s="8" t="s">
        <v>95</v>
      </c>
      <c r="L45" s="9">
        <v>23.0</v>
      </c>
      <c r="M45" s="9">
        <v>22.8</v>
      </c>
      <c r="N45" s="6"/>
      <c r="O45" s="6"/>
      <c r="P45" s="6"/>
      <c r="Q45" s="6"/>
    </row>
    <row r="46">
      <c r="A46" s="4" t="s">
        <v>96</v>
      </c>
      <c r="B46" s="5">
        <v>27.9</v>
      </c>
      <c r="C46" s="5">
        <v>30.0</v>
      </c>
      <c r="D46" s="11">
        <f>ROUND(AVERAGE(C42:C46), 3-1-INT(LOG10(ABS(AVERAGE(C42:C46)))))</f>
        <v>28</v>
      </c>
      <c r="E46" s="11">
        <f>ROUND(AVERAGE(B42:B46), 3-1-INT(LOG10(ABS(AVERAGE(B42:B46)))))</f>
        <v>29.6</v>
      </c>
      <c r="F46" s="11">
        <f>ROUND(_xlfn.STDEV.S(C42:C46), 2-1-INT(LOG10(ABS(_xlfn.STDEV.S(C42:C46)))))</f>
        <v>1.3</v>
      </c>
      <c r="G46" s="11">
        <f>ROUND(_xlfn.STDEV.S(B42:B46), 2-1-INT(LOG10(ABS(_xlfn.STDEV.S(B42:B46)))))</f>
        <v>3</v>
      </c>
      <c r="K46" s="8" t="s">
        <v>97</v>
      </c>
      <c r="L46" s="9">
        <v>22.4</v>
      </c>
      <c r="M46" s="9">
        <v>20.5</v>
      </c>
      <c r="N46" s="11">
        <f>ROUND(AVERAGE(M42:M46), 3-1-INT(LOG10(ABS(AVERAGE(M42:M46)))))</f>
        <v>22.7</v>
      </c>
      <c r="O46" s="11">
        <f>ROUND(AVERAGE(L42:L46), 3-1-INT(LOG10(ABS(AVERAGE(L42:L46)))))</f>
        <v>25.1</v>
      </c>
      <c r="P46" s="11">
        <f>ROUND(_xlfn.STDEV.S(M42:M46), 2-1-INT(LOG10(ABS(_xlfn.STDEV.S(M42:M46)))))</f>
        <v>1.4</v>
      </c>
      <c r="Q46" s="11">
        <f>ROUND(_xlfn.STDEV.S(L42:L46), 2-1-INT(LOG10(ABS(_xlfn.STDEV.S(L42:L46)))))</f>
        <v>2.7</v>
      </c>
    </row>
    <row r="47">
      <c r="A47" s="12" t="s">
        <v>98</v>
      </c>
      <c r="B47" s="13">
        <v>27.8</v>
      </c>
      <c r="C47" s="13">
        <v>28.4</v>
      </c>
      <c r="D47" s="6"/>
      <c r="E47" s="6"/>
      <c r="F47" s="6"/>
      <c r="G47" s="6"/>
      <c r="H47" s="10">
        <v>64.0</v>
      </c>
      <c r="K47" s="14" t="s">
        <v>99</v>
      </c>
      <c r="L47" s="15">
        <v>19.6</v>
      </c>
      <c r="M47" s="15">
        <v>23.4</v>
      </c>
      <c r="N47" s="6"/>
      <c r="O47" s="6"/>
      <c r="P47" s="6"/>
      <c r="Q47" s="6"/>
      <c r="R47" s="10">
        <v>61.0</v>
      </c>
    </row>
    <row r="48">
      <c r="A48" s="12" t="s">
        <v>100</v>
      </c>
      <c r="B48" s="13">
        <v>28.3</v>
      </c>
      <c r="C48" s="13">
        <v>23.6</v>
      </c>
      <c r="D48" s="6"/>
      <c r="E48" s="6"/>
      <c r="F48" s="6"/>
      <c r="G48" s="6"/>
      <c r="K48" s="14" t="s">
        <v>101</v>
      </c>
      <c r="L48" s="15">
        <v>21.5</v>
      </c>
      <c r="M48" s="15">
        <v>22.7</v>
      </c>
      <c r="N48" s="6"/>
      <c r="O48" s="6"/>
      <c r="P48" s="6"/>
      <c r="Q48" s="6"/>
    </row>
    <row r="49">
      <c r="A49" s="12" t="s">
        <v>102</v>
      </c>
      <c r="B49" s="13">
        <v>26.4</v>
      </c>
      <c r="C49" s="13">
        <v>26.5</v>
      </c>
      <c r="D49" s="6"/>
      <c r="E49" s="6"/>
      <c r="F49" s="6"/>
      <c r="G49" s="6"/>
      <c r="K49" s="14" t="s">
        <v>103</v>
      </c>
      <c r="L49" s="15">
        <v>22.3</v>
      </c>
      <c r="M49" s="15">
        <v>23.9</v>
      </c>
      <c r="N49" s="6"/>
      <c r="O49" s="6"/>
      <c r="P49" s="6"/>
      <c r="Q49" s="6"/>
    </row>
    <row r="50">
      <c r="A50" s="12" t="s">
        <v>104</v>
      </c>
      <c r="B50" s="13">
        <v>24.3</v>
      </c>
      <c r="C50" s="13">
        <v>24.6</v>
      </c>
      <c r="D50" s="6"/>
      <c r="E50" s="6"/>
      <c r="F50" s="6"/>
      <c r="G50" s="6"/>
      <c r="K50" s="14" t="s">
        <v>105</v>
      </c>
      <c r="L50" s="15">
        <v>19.4</v>
      </c>
      <c r="M50" s="15">
        <v>22.5</v>
      </c>
      <c r="N50" s="6"/>
      <c r="O50" s="6"/>
      <c r="P50" s="6"/>
      <c r="Q50" s="6"/>
    </row>
    <row r="51">
      <c r="A51" s="12" t="s">
        <v>106</v>
      </c>
      <c r="B51" s="13">
        <v>22.8</v>
      </c>
      <c r="C51" s="13">
        <v>25.4</v>
      </c>
      <c r="D51" s="11">
        <f>ROUND(AVERAGE(C47:C51), 3-1-INT(LOG10(ABS(AVERAGE(C47:C51)))))</f>
        <v>25.7</v>
      </c>
      <c r="E51" s="11">
        <f>ROUND(AVERAGE(B47:B51), 3-1-INT(LOG10(ABS(AVERAGE(B47:B51)))))</f>
        <v>25.9</v>
      </c>
      <c r="F51" s="11">
        <f>ROUND(_xlfn.STDEV.S(C47:C51), 2-1-INT(LOG10(ABS(_xlfn.STDEV.S(C47:C51)))))</f>
        <v>1.8</v>
      </c>
      <c r="G51" s="11">
        <f>ROUND(_xlfn.STDEV.S(B47:B51), 2-1-INT(LOG10(ABS(_xlfn.STDEV.S(B47:B51)))))</f>
        <v>2.3</v>
      </c>
      <c r="K51" s="14" t="s">
        <v>107</v>
      </c>
      <c r="L51" s="15">
        <v>20.5</v>
      </c>
      <c r="M51" s="15">
        <v>20.0</v>
      </c>
      <c r="N51" s="11">
        <f>ROUND(AVERAGE(M47:M51), 3-1-INT(LOG10(ABS(AVERAGE(M47:M51)))))</f>
        <v>22.5</v>
      </c>
      <c r="O51" s="11">
        <f>ROUND(AVERAGE(L47:L51), 3-1-INT(LOG10(ABS(AVERAGE(L47:L51)))))</f>
        <v>20.7</v>
      </c>
      <c r="P51" s="11">
        <f>ROUND(_xlfn.STDEV.S(M47:M51), 2-1-INT(LOG10(ABS(_xlfn.STDEV.S(M47:M51)))))</f>
        <v>1.5</v>
      </c>
      <c r="Q51" s="11">
        <f>ROUND(_xlfn.STDEV.S(L47:L51), 2-1-INT(LOG10(ABS(_xlfn.STDEV.S(L47:L51)))))</f>
        <v>1.2</v>
      </c>
    </row>
    <row r="52">
      <c r="A52" s="4" t="s">
        <v>108</v>
      </c>
      <c r="B52" s="5">
        <v>17.4</v>
      </c>
      <c r="C52" s="5">
        <v>23.6</v>
      </c>
      <c r="D52" s="6"/>
      <c r="E52" s="6"/>
      <c r="F52" s="6"/>
      <c r="G52" s="6"/>
      <c r="H52" s="10">
        <v>59.0</v>
      </c>
      <c r="K52" s="8" t="s">
        <v>109</v>
      </c>
      <c r="L52" s="9">
        <v>16.4</v>
      </c>
      <c r="M52" s="9">
        <v>14.4</v>
      </c>
      <c r="N52" s="6"/>
      <c r="O52" s="6"/>
      <c r="P52" s="6"/>
      <c r="Q52" s="6"/>
      <c r="R52" s="10">
        <v>67.0</v>
      </c>
    </row>
    <row r="53">
      <c r="A53" s="4" t="s">
        <v>110</v>
      </c>
      <c r="B53" s="5">
        <v>20.4</v>
      </c>
      <c r="C53" s="5">
        <v>24.9</v>
      </c>
      <c r="D53" s="6"/>
      <c r="E53" s="6"/>
      <c r="F53" s="6"/>
      <c r="G53" s="6"/>
      <c r="K53" s="8" t="s">
        <v>111</v>
      </c>
      <c r="L53" s="9">
        <v>15.4</v>
      </c>
      <c r="M53" s="9">
        <v>16.3</v>
      </c>
      <c r="N53" s="6"/>
      <c r="O53" s="6"/>
      <c r="P53" s="6"/>
      <c r="Q53" s="6"/>
    </row>
    <row r="54">
      <c r="A54" s="4" t="s">
        <v>112</v>
      </c>
      <c r="B54" s="5">
        <v>21.3</v>
      </c>
      <c r="C54" s="5">
        <v>25.3</v>
      </c>
      <c r="D54" s="6"/>
      <c r="E54" s="6"/>
      <c r="F54" s="6"/>
      <c r="G54" s="6"/>
      <c r="K54" s="8" t="s">
        <v>113</v>
      </c>
      <c r="L54" s="9">
        <v>17.3</v>
      </c>
      <c r="M54" s="9">
        <v>15.6</v>
      </c>
      <c r="N54" s="6"/>
      <c r="O54" s="6"/>
      <c r="P54" s="6"/>
      <c r="Q54" s="6"/>
    </row>
    <row r="55">
      <c r="A55" s="4" t="s">
        <v>114</v>
      </c>
      <c r="B55" s="5">
        <v>16.8</v>
      </c>
      <c r="C55" s="5">
        <v>26.4</v>
      </c>
      <c r="D55" s="6"/>
      <c r="E55" s="6"/>
      <c r="F55" s="6"/>
      <c r="G55" s="6"/>
      <c r="K55" s="8" t="s">
        <v>115</v>
      </c>
      <c r="L55" s="9">
        <v>15.8</v>
      </c>
      <c r="M55" s="9">
        <v>14.8</v>
      </c>
      <c r="N55" s="6"/>
      <c r="O55" s="6"/>
      <c r="P55" s="6"/>
      <c r="Q55" s="6"/>
    </row>
    <row r="56">
      <c r="A56" s="4" t="s">
        <v>116</v>
      </c>
      <c r="B56" s="5">
        <v>18.4</v>
      </c>
      <c r="C56" s="5">
        <v>27.5</v>
      </c>
      <c r="D56" s="11">
        <f>ROUND(AVERAGE(C52:C56), 3-1-INT(LOG10(ABS(AVERAGE(C52:C56)))))</f>
        <v>25.5</v>
      </c>
      <c r="E56" s="11">
        <f>ROUND(AVERAGE(B52:B56), 3-1-INT(LOG10(ABS(AVERAGE(B52:B56)))))</f>
        <v>18.9</v>
      </c>
      <c r="F56" s="11">
        <f>ROUND(_xlfn.STDEV.S(C52:C56), 2-1-INT(LOG10(ABS(_xlfn.STDEV.S(C52:C56)))))</f>
        <v>1.5</v>
      </c>
      <c r="G56" s="11">
        <f>ROUND(_xlfn.STDEV.S(B52:B56), 2-1-INT(LOG10(ABS(_xlfn.STDEV.S(B52:B56)))))</f>
        <v>1.9</v>
      </c>
      <c r="K56" s="8" t="s">
        <v>117</v>
      </c>
      <c r="L56" s="9">
        <v>13.4</v>
      </c>
      <c r="M56" s="9">
        <v>13.9</v>
      </c>
      <c r="N56" s="11">
        <f>ROUND(AVERAGE(M52:M56), 3-1-INT(LOG10(ABS(AVERAGE(M52:M56)))))</f>
        <v>15</v>
      </c>
      <c r="O56" s="11">
        <f>ROUND(AVERAGE(L52:L56), 3-1-INT(LOG10(ABS(AVERAGE(L52:L56)))))</f>
        <v>15.7</v>
      </c>
      <c r="P56" s="11">
        <f>ROUND(_xlfn.STDEV.S(M52:M56), 2-1-INT(LOG10(ABS(_xlfn.STDEV.S(M52:M56)))))</f>
        <v>0.96</v>
      </c>
      <c r="Q56" s="11">
        <f>ROUND(_xlfn.STDEV.S(L52:L56), 2-1-INT(LOG10(ABS(_xlfn.STDEV.S(L52:L56)))))</f>
        <v>1.5</v>
      </c>
    </row>
    <row r="57">
      <c r="A57" s="12" t="s">
        <v>118</v>
      </c>
      <c r="B57" s="13">
        <v>19.7</v>
      </c>
      <c r="C57" s="13">
        <v>17.4</v>
      </c>
      <c r="D57" s="6"/>
      <c r="E57" s="6"/>
      <c r="F57" s="6"/>
      <c r="G57" s="6"/>
      <c r="H57" s="10">
        <v>67.0</v>
      </c>
      <c r="K57" s="14" t="s">
        <v>119</v>
      </c>
      <c r="L57" s="15">
        <v>22.3</v>
      </c>
      <c r="M57" s="15">
        <v>19.6</v>
      </c>
      <c r="N57" s="6"/>
      <c r="O57" s="6"/>
      <c r="P57" s="6"/>
      <c r="Q57" s="6"/>
      <c r="R57" s="10">
        <v>63.0</v>
      </c>
    </row>
    <row r="58">
      <c r="A58" s="12" t="s">
        <v>120</v>
      </c>
      <c r="B58" s="13">
        <v>19.4</v>
      </c>
      <c r="C58" s="13">
        <v>17.3</v>
      </c>
      <c r="D58" s="6"/>
      <c r="E58" s="6"/>
      <c r="F58" s="6"/>
      <c r="G58" s="6"/>
      <c r="K58" s="14" t="s">
        <v>121</v>
      </c>
      <c r="L58" s="15">
        <v>24.5</v>
      </c>
      <c r="M58" s="15">
        <v>22.3</v>
      </c>
      <c r="N58" s="6"/>
      <c r="O58" s="6"/>
      <c r="P58" s="6"/>
      <c r="Q58" s="6"/>
    </row>
    <row r="59">
      <c r="A59" s="12" t="s">
        <v>122</v>
      </c>
      <c r="B59" s="13">
        <v>22.6</v>
      </c>
      <c r="C59" s="13">
        <v>18.4</v>
      </c>
      <c r="D59" s="6"/>
      <c r="E59" s="6"/>
      <c r="F59" s="6"/>
      <c r="G59" s="6"/>
      <c r="K59" s="14" t="s">
        <v>123</v>
      </c>
      <c r="L59" s="15">
        <v>20.6</v>
      </c>
      <c r="M59" s="15">
        <v>18.8</v>
      </c>
      <c r="N59" s="6"/>
      <c r="O59" s="6"/>
      <c r="P59" s="6"/>
      <c r="Q59" s="6"/>
    </row>
    <row r="60">
      <c r="A60" s="12" t="s">
        <v>124</v>
      </c>
      <c r="B60" s="13">
        <v>17.9</v>
      </c>
      <c r="C60" s="13">
        <v>15.6</v>
      </c>
      <c r="D60" s="6"/>
      <c r="E60" s="6"/>
      <c r="F60" s="6"/>
      <c r="G60" s="6"/>
      <c r="K60" s="14" t="s">
        <v>125</v>
      </c>
      <c r="L60" s="15">
        <v>22.4</v>
      </c>
      <c r="M60" s="15">
        <v>20.5</v>
      </c>
      <c r="N60" s="6"/>
      <c r="O60" s="6"/>
      <c r="P60" s="6"/>
      <c r="Q60" s="6"/>
    </row>
    <row r="61">
      <c r="A61" s="12" t="s">
        <v>126</v>
      </c>
      <c r="B61" s="13">
        <v>18.4</v>
      </c>
      <c r="C61" s="13">
        <v>16.4</v>
      </c>
      <c r="D61" s="11">
        <f>ROUND(AVERAGE(C57:C61), 3-1-INT(LOG10(ABS(AVERAGE(C57:C61)))))</f>
        <v>17</v>
      </c>
      <c r="E61" s="11">
        <f>ROUND(AVERAGE(B57:B61), 3-1-INT(LOG10(ABS(AVERAGE(B57:B61)))))</f>
        <v>19.6</v>
      </c>
      <c r="F61" s="11">
        <f>ROUND(_xlfn.STDEV.S(C57:C61), 2-1-INT(LOG10(ABS(_xlfn.STDEV.S(C57:C61)))))</f>
        <v>1.1</v>
      </c>
      <c r="G61" s="11">
        <f>ROUND(_xlfn.STDEV.S(B57:B61), 2-1-INT(LOG10(ABS(_xlfn.STDEV.S(B57:B61)))))</f>
        <v>1.8</v>
      </c>
      <c r="K61" s="14" t="s">
        <v>127</v>
      </c>
      <c r="L61" s="15">
        <v>23.8</v>
      </c>
      <c r="M61" s="15">
        <v>21.6</v>
      </c>
      <c r="N61" s="11">
        <f>ROUND(AVERAGE(M57:M61), 3-1-INT(LOG10(ABS(AVERAGE(M57:M61)))))</f>
        <v>20.6</v>
      </c>
      <c r="O61" s="11">
        <f>ROUND(AVERAGE(L57:L61), 3-1-INT(LOG10(ABS(AVERAGE(L57:L61)))))</f>
        <v>22.7</v>
      </c>
      <c r="P61" s="11">
        <f>ROUND(_xlfn.STDEV.S(M57:M61), 2-1-INT(LOG10(ABS(_xlfn.STDEV.S(M57:M61)))))</f>
        <v>1.4</v>
      </c>
      <c r="Q61" s="11">
        <f>ROUND(_xlfn.STDEV.S(L57:L61), 2-1-INT(LOG10(ABS(_xlfn.STDEV.S(L57:L61)))))</f>
        <v>1.5</v>
      </c>
    </row>
    <row r="62">
      <c r="A62" s="4" t="s">
        <v>128</v>
      </c>
      <c r="B62" s="5">
        <v>13.5</v>
      </c>
      <c r="C62" s="5">
        <v>14.5</v>
      </c>
      <c r="D62" s="6"/>
      <c r="E62" s="6"/>
      <c r="F62" s="6"/>
      <c r="G62" s="6"/>
      <c r="H62" s="10">
        <v>71.0</v>
      </c>
      <c r="K62" s="8" t="s">
        <v>129</v>
      </c>
      <c r="L62" s="9">
        <v>24.6</v>
      </c>
      <c r="M62" s="9">
        <v>19.6</v>
      </c>
      <c r="N62" s="6"/>
      <c r="O62" s="6"/>
      <c r="P62" s="6"/>
      <c r="Q62" s="6"/>
      <c r="R62" s="10">
        <v>62.0</v>
      </c>
    </row>
    <row r="63">
      <c r="A63" s="4" t="s">
        <v>130</v>
      </c>
      <c r="B63" s="5">
        <v>14.8</v>
      </c>
      <c r="C63" s="5">
        <v>16.6</v>
      </c>
      <c r="D63" s="6"/>
      <c r="E63" s="6"/>
      <c r="F63" s="6"/>
      <c r="G63" s="6"/>
      <c r="K63" s="8" t="s">
        <v>131</v>
      </c>
      <c r="L63" s="9">
        <v>26.7</v>
      </c>
      <c r="M63" s="9">
        <v>18.8</v>
      </c>
      <c r="N63" s="6"/>
      <c r="O63" s="6"/>
      <c r="P63" s="6"/>
      <c r="Q63" s="6"/>
    </row>
    <row r="64">
      <c r="A64" s="4" t="s">
        <v>132</v>
      </c>
      <c r="B64" s="5">
        <v>16.9</v>
      </c>
      <c r="C64" s="5">
        <v>17.4</v>
      </c>
      <c r="D64" s="6"/>
      <c r="E64" s="6"/>
      <c r="F64" s="6"/>
      <c r="G64" s="6"/>
      <c r="K64" s="8" t="s">
        <v>133</v>
      </c>
      <c r="L64" s="9">
        <v>28.9</v>
      </c>
      <c r="M64" s="9">
        <v>19.4</v>
      </c>
      <c r="N64" s="6"/>
      <c r="O64" s="6"/>
      <c r="P64" s="6"/>
      <c r="Q64" s="6"/>
    </row>
    <row r="65">
      <c r="A65" s="4" t="s">
        <v>134</v>
      </c>
      <c r="B65" s="5">
        <v>14.5</v>
      </c>
      <c r="C65" s="5">
        <v>13.3</v>
      </c>
      <c r="D65" s="6"/>
      <c r="E65" s="6"/>
      <c r="F65" s="6"/>
      <c r="G65" s="6"/>
      <c r="K65" s="8" t="s">
        <v>135</v>
      </c>
      <c r="L65" s="9">
        <v>24.5</v>
      </c>
      <c r="M65" s="9">
        <v>17.8</v>
      </c>
      <c r="N65" s="6"/>
      <c r="O65" s="6"/>
      <c r="P65" s="6"/>
      <c r="Q65" s="6"/>
    </row>
    <row r="66">
      <c r="A66" s="4" t="s">
        <v>136</v>
      </c>
      <c r="B66" s="5">
        <v>12.3</v>
      </c>
      <c r="C66" s="5">
        <v>14.5</v>
      </c>
      <c r="D66" s="11">
        <f>ROUND(AVERAGE(C62:C66), 3-1-INT(LOG10(ABS(AVERAGE(C62:C66)))))</f>
        <v>15.3</v>
      </c>
      <c r="E66" s="11">
        <f>ROUND(AVERAGE(B62:B66), 3-1-INT(LOG10(ABS(AVERAGE(B62:B66)))))</f>
        <v>14.4</v>
      </c>
      <c r="F66" s="11">
        <f>ROUND(_xlfn.STDEV.S(C62:C66), 2-1-INT(LOG10(ABS(_xlfn.STDEV.S(C62:C66)))))</f>
        <v>1.7</v>
      </c>
      <c r="G66" s="11">
        <f>ROUND(_xlfn.STDEV.S(B62:B66), 2-1-INT(LOG10(ABS(_xlfn.STDEV.S(B62:B66)))))</f>
        <v>1.7</v>
      </c>
      <c r="K66" s="8" t="s">
        <v>137</v>
      </c>
      <c r="L66" s="9">
        <v>23.8</v>
      </c>
      <c r="M66" s="9">
        <v>20.1</v>
      </c>
      <c r="N66" s="11">
        <f>ROUND(AVERAGE(M62:M66), 3-1-INT(LOG10(ABS(AVERAGE(M62:M66)))))</f>
        <v>19.1</v>
      </c>
      <c r="O66" s="11">
        <f>ROUND(AVERAGE(L62:L66), 3-1-INT(LOG10(ABS(AVERAGE(L62:L66)))))</f>
        <v>25.7</v>
      </c>
      <c r="P66" s="11">
        <f>ROUND(_xlfn.STDEV.S(M62:M66), 2-1-INT(LOG10(ABS(_xlfn.STDEV.S(M62:M66)))))</f>
        <v>0.88</v>
      </c>
      <c r="Q66" s="11">
        <f>ROUND(_xlfn.STDEV.S(L62:L66), 2-1-INT(LOG10(ABS(_xlfn.STDEV.S(L62:L66)))))</f>
        <v>2.1</v>
      </c>
    </row>
    <row r="67">
      <c r="A67" s="12" t="s">
        <v>138</v>
      </c>
      <c r="B67" s="13">
        <v>26.7</v>
      </c>
      <c r="C67" s="13">
        <v>18.4</v>
      </c>
      <c r="D67" s="6"/>
      <c r="E67" s="6"/>
      <c r="F67" s="6"/>
      <c r="G67" s="6"/>
      <c r="H67" s="10">
        <v>59.0</v>
      </c>
      <c r="K67" s="14" t="s">
        <v>139</v>
      </c>
      <c r="L67" s="15">
        <v>20.6</v>
      </c>
      <c r="M67" s="15">
        <v>21.5</v>
      </c>
      <c r="N67" s="6"/>
      <c r="O67" s="6"/>
      <c r="P67" s="6"/>
      <c r="Q67" s="6"/>
      <c r="R67" s="10">
        <v>58.0</v>
      </c>
    </row>
    <row r="68">
      <c r="A68" s="12" t="s">
        <v>140</v>
      </c>
      <c r="B68" s="13">
        <v>28.4</v>
      </c>
      <c r="C68" s="13">
        <v>19.3</v>
      </c>
      <c r="D68" s="6"/>
      <c r="E68" s="6"/>
      <c r="F68" s="6"/>
      <c r="G68" s="6"/>
      <c r="K68" s="14" t="s">
        <v>141</v>
      </c>
      <c r="L68" s="15">
        <v>21.5</v>
      </c>
      <c r="M68" s="15">
        <v>22.0</v>
      </c>
      <c r="N68" s="6"/>
      <c r="O68" s="6"/>
      <c r="P68" s="6"/>
      <c r="Q68" s="6"/>
    </row>
    <row r="69">
      <c r="A69" s="12" t="s">
        <v>142</v>
      </c>
      <c r="B69" s="13">
        <v>27.4</v>
      </c>
      <c r="C69" s="13">
        <v>16.7</v>
      </c>
      <c r="D69" s="6"/>
      <c r="E69" s="6"/>
      <c r="F69" s="6"/>
      <c r="G69" s="6"/>
      <c r="K69" s="14" t="s">
        <v>143</v>
      </c>
      <c r="L69" s="15">
        <v>22.0</v>
      </c>
      <c r="M69" s="15">
        <v>23.4</v>
      </c>
      <c r="N69" s="6"/>
      <c r="O69" s="6"/>
      <c r="P69" s="6"/>
      <c r="Q69" s="6"/>
    </row>
    <row r="70">
      <c r="A70" s="12" t="s">
        <v>144</v>
      </c>
      <c r="B70" s="13">
        <v>28.6</v>
      </c>
      <c r="C70" s="13">
        <v>18.4</v>
      </c>
      <c r="D70" s="6"/>
      <c r="E70" s="6"/>
      <c r="F70" s="6"/>
      <c r="G70" s="6"/>
      <c r="K70" s="14" t="s">
        <v>145</v>
      </c>
      <c r="L70" s="15">
        <v>22.0</v>
      </c>
      <c r="M70" s="15">
        <v>24.6</v>
      </c>
      <c r="N70" s="6"/>
      <c r="O70" s="6"/>
      <c r="P70" s="6"/>
      <c r="Q70" s="6"/>
    </row>
    <row r="71">
      <c r="A71" s="12" t="s">
        <v>146</v>
      </c>
      <c r="B71" s="13">
        <v>26.8</v>
      </c>
      <c r="C71" s="13">
        <v>20.3</v>
      </c>
      <c r="D71" s="11">
        <f>ROUND(AVERAGE(C67:C71), 3-1-INT(LOG10(ABS(AVERAGE(C67:C71)))))</f>
        <v>18.6</v>
      </c>
      <c r="E71" s="11">
        <f>ROUND(AVERAGE(B67:B71), 3-1-INT(LOG10(ABS(AVERAGE(B67:B71)))))</f>
        <v>27.6</v>
      </c>
      <c r="F71" s="11">
        <f>ROUND(_xlfn.STDEV.S(C67:C71), 2-1-INT(LOG10(ABS(_xlfn.STDEV.S(C67:C71)))))</f>
        <v>1.3</v>
      </c>
      <c r="G71" s="11">
        <f>ROUND(_xlfn.STDEV.S(B67:B71), 2-1-INT(LOG10(ABS(_xlfn.STDEV.S(B67:B71)))))</f>
        <v>0.88</v>
      </c>
      <c r="K71" s="14" t="s">
        <v>147</v>
      </c>
      <c r="L71" s="15">
        <v>19.6</v>
      </c>
      <c r="M71" s="15">
        <v>20.4</v>
      </c>
      <c r="N71" s="11">
        <f>ROUND(AVERAGE(M67:M71), 3-1-INT(LOG10(ABS(AVERAGE(M67:M71)))))</f>
        <v>22.4</v>
      </c>
      <c r="O71" s="11">
        <f>ROUND(AVERAGE(L67:L71), 3-1-INT(LOG10(ABS(AVERAGE(L67:L71)))))</f>
        <v>21.1</v>
      </c>
      <c r="P71" s="11">
        <f>ROUND(_xlfn.STDEV.S(M67:M71), 2-1-INT(LOG10(ABS(_xlfn.STDEV.S(M67:M71)))))</f>
        <v>1.6</v>
      </c>
      <c r="Q71" s="11">
        <f>ROUND(_xlfn.STDEV.S(L67:L71), 2-1-INT(LOG10(ABS(_xlfn.STDEV.S(L67:L71)))))</f>
        <v>1</v>
      </c>
    </row>
    <row r="72">
      <c r="A72" s="4" t="s">
        <v>148</v>
      </c>
      <c r="B72" s="5">
        <v>24.5</v>
      </c>
      <c r="C72" s="5">
        <v>21.8</v>
      </c>
      <c r="D72" s="6"/>
      <c r="E72" s="6"/>
      <c r="F72" s="6"/>
      <c r="G72" s="6"/>
      <c r="H72" s="10">
        <v>54.0</v>
      </c>
      <c r="K72" s="8" t="s">
        <v>149</v>
      </c>
      <c r="L72" s="9">
        <v>18.6</v>
      </c>
      <c r="M72" s="9">
        <v>23.5</v>
      </c>
      <c r="N72" s="6"/>
      <c r="O72" s="6"/>
      <c r="P72" s="6"/>
      <c r="Q72" s="6"/>
      <c r="R72" s="10">
        <v>55.0</v>
      </c>
    </row>
    <row r="73">
      <c r="A73" s="4" t="s">
        <v>150</v>
      </c>
      <c r="B73" s="5">
        <v>24.2</v>
      </c>
      <c r="C73" s="5">
        <v>20.5</v>
      </c>
      <c r="D73" s="6"/>
      <c r="E73" s="6"/>
      <c r="F73" s="6"/>
      <c r="G73" s="6"/>
      <c r="K73" s="8" t="s">
        <v>151</v>
      </c>
      <c r="L73" s="9">
        <v>19.4</v>
      </c>
      <c r="M73" s="9">
        <v>24.6</v>
      </c>
      <c r="N73" s="6"/>
      <c r="O73" s="6"/>
      <c r="P73" s="6"/>
      <c r="Q73" s="6"/>
    </row>
    <row r="74">
      <c r="A74" s="4" t="s">
        <v>152</v>
      </c>
      <c r="B74" s="5">
        <v>23.9</v>
      </c>
      <c r="C74" s="5">
        <v>19.6</v>
      </c>
      <c r="D74" s="6"/>
      <c r="E74" s="6"/>
      <c r="F74" s="6"/>
      <c r="G74" s="6"/>
      <c r="K74" s="8" t="s">
        <v>153</v>
      </c>
      <c r="L74" s="9">
        <v>21.6</v>
      </c>
      <c r="M74" s="9">
        <v>27.4</v>
      </c>
      <c r="N74" s="6"/>
      <c r="O74" s="6"/>
      <c r="P74" s="6"/>
      <c r="Q74" s="6"/>
    </row>
    <row r="75">
      <c r="A75" s="4" t="s">
        <v>154</v>
      </c>
      <c r="B75" s="5">
        <v>24.2</v>
      </c>
      <c r="C75" s="5">
        <v>22.0</v>
      </c>
      <c r="D75" s="6"/>
      <c r="E75" s="6"/>
      <c r="F75" s="6"/>
      <c r="G75" s="6"/>
      <c r="K75" s="8" t="s">
        <v>155</v>
      </c>
      <c r="L75" s="9">
        <v>22.3</v>
      </c>
      <c r="M75" s="9">
        <v>24.5</v>
      </c>
      <c r="N75" s="6"/>
      <c r="O75" s="6"/>
      <c r="P75" s="6"/>
      <c r="Q75" s="6"/>
    </row>
    <row r="76">
      <c r="A76" s="4" t="s">
        <v>156</v>
      </c>
      <c r="B76" s="5">
        <v>22.4</v>
      </c>
      <c r="C76" s="5">
        <v>21.5</v>
      </c>
      <c r="D76" s="11">
        <f>ROUND(AVERAGE(C72:C76), 3-1-INT(LOG10(ABS(AVERAGE(C72:C76)))))</f>
        <v>21.1</v>
      </c>
      <c r="E76" s="11">
        <f>ROUND(AVERAGE(B72:B76), 3-1-INT(LOG10(ABS(AVERAGE(B72:B76)))))</f>
        <v>23.8</v>
      </c>
      <c r="F76" s="11">
        <f>ROUND(_xlfn.STDEV.S(C72:C76), 2-1-INT(LOG10(ABS(_xlfn.STDEV.S(C72:C76)))))</f>
        <v>1</v>
      </c>
      <c r="G76" s="11">
        <f>ROUND(_xlfn.STDEV.S(B72:B76), 2-1-INT(LOG10(ABS(_xlfn.STDEV.S(B72:B76)))))</f>
        <v>0.83</v>
      </c>
      <c r="K76" s="8" t="s">
        <v>157</v>
      </c>
      <c r="L76" s="9">
        <v>24.5</v>
      </c>
      <c r="M76" s="9">
        <v>22.0</v>
      </c>
      <c r="N76" s="11">
        <f>ROUND(AVERAGE(M72:M76), 3-1-INT(LOG10(ABS(AVERAGE(M72:M76)))))</f>
        <v>24.4</v>
      </c>
      <c r="O76" s="11">
        <f>ROUND(AVERAGE(L72:L76), 3-1-INT(LOG10(ABS(AVERAGE(L72:L76)))))</f>
        <v>21.3</v>
      </c>
      <c r="P76" s="11">
        <f>ROUND(_xlfn.STDEV.S(M72:M76), 2-1-INT(LOG10(ABS(_xlfn.STDEV.S(M72:M76)))))</f>
        <v>2</v>
      </c>
      <c r="Q76" s="11">
        <f>ROUND(_xlfn.STDEV.S(L72:L76), 2-1-INT(LOG10(ABS(_xlfn.STDEV.S(L72:L76)))))</f>
        <v>2.4</v>
      </c>
    </row>
    <row r="77">
      <c r="A77" s="12" t="s">
        <v>158</v>
      </c>
      <c r="B77" s="13">
        <v>21.4</v>
      </c>
      <c r="C77" s="13">
        <v>21.8</v>
      </c>
      <c r="D77" s="6"/>
      <c r="E77" s="6"/>
      <c r="F77" s="6"/>
      <c r="G77" s="6"/>
      <c r="H77" s="10">
        <v>69.0</v>
      </c>
      <c r="K77" s="1"/>
      <c r="L77" s="11"/>
      <c r="M77" s="11"/>
      <c r="N77" s="6"/>
      <c r="O77" s="6"/>
      <c r="P77" s="6"/>
      <c r="Q77" s="6"/>
    </row>
    <row r="78">
      <c r="A78" s="12" t="s">
        <v>159</v>
      </c>
      <c r="B78" s="13">
        <v>22.0</v>
      </c>
      <c r="C78" s="13">
        <v>22.0</v>
      </c>
      <c r="D78" s="6"/>
      <c r="E78" s="6"/>
      <c r="F78" s="6"/>
      <c r="G78" s="6"/>
      <c r="K78" s="1"/>
      <c r="L78" s="11"/>
      <c r="M78" s="11"/>
      <c r="N78" s="6"/>
      <c r="O78" s="6"/>
      <c r="P78" s="6"/>
      <c r="Q78" s="6"/>
    </row>
    <row r="79">
      <c r="A79" s="12" t="s">
        <v>160</v>
      </c>
      <c r="B79" s="13">
        <v>20.8</v>
      </c>
      <c r="C79" s="13">
        <v>23.0</v>
      </c>
      <c r="D79" s="6"/>
      <c r="E79" s="6"/>
      <c r="F79" s="6"/>
      <c r="G79" s="6"/>
      <c r="K79" s="1"/>
      <c r="L79" s="11"/>
      <c r="M79" s="11"/>
      <c r="N79" s="6"/>
      <c r="O79" s="6"/>
      <c r="P79" s="6"/>
      <c r="Q79" s="6"/>
    </row>
    <row r="80">
      <c r="A80" s="12" t="s">
        <v>161</v>
      </c>
      <c r="B80" s="13">
        <v>22.6</v>
      </c>
      <c r="C80" s="13">
        <v>19.6</v>
      </c>
      <c r="D80" s="6"/>
      <c r="E80" s="6"/>
      <c r="F80" s="6"/>
      <c r="G80" s="6"/>
      <c r="K80" s="1"/>
      <c r="L80" s="11"/>
      <c r="M80" s="11"/>
      <c r="N80" s="6"/>
      <c r="O80" s="6"/>
      <c r="P80" s="6"/>
      <c r="Q80" s="6"/>
    </row>
    <row r="81">
      <c r="A81" s="12" t="s">
        <v>162</v>
      </c>
      <c r="B81" s="13">
        <v>18.5</v>
      </c>
      <c r="C81" s="13">
        <v>18.4</v>
      </c>
      <c r="D81" s="11">
        <f>ROUND(AVERAGE(C77:C81), 3-1-INT(LOG10(ABS(AVERAGE(C77:C81)))))</f>
        <v>21</v>
      </c>
      <c r="E81" s="11">
        <f>ROUND(AVERAGE(B77:B81), 3-1-INT(LOG10(ABS(AVERAGE(B77:B81)))))</f>
        <v>21.1</v>
      </c>
      <c r="F81" s="11">
        <f>ROUND(_xlfn.STDEV.S(C77:C81), 2-1-INT(LOG10(ABS(_xlfn.STDEV.S(C77:C81)))))</f>
        <v>1.9</v>
      </c>
      <c r="G81" s="11">
        <f>ROUND(_xlfn.STDEV.S(B77:B81), 2-1-INT(LOG10(ABS(_xlfn.STDEV.S(B77:B81)))))</f>
        <v>1.6</v>
      </c>
      <c r="K81" s="1"/>
      <c r="L81" s="11"/>
      <c r="M81" s="11"/>
      <c r="N81" s="11"/>
      <c r="O81" s="11"/>
      <c r="P81" s="11"/>
      <c r="Q81" s="11"/>
    </row>
  </sheetData>
  <drawing r:id="rId1"/>
</worksheet>
</file>